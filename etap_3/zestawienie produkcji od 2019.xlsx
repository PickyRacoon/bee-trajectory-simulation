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Tomasz Filip Walasek\Desktop\"/>
    </mc:Choice>
  </mc:AlternateContent>
  <xr:revisionPtr revIDLastSave="0" documentId="13_ncr:1_{D5E61E53-E97F-4133-B1F0-1E614237F39F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2019" sheetId="1" r:id="rId1"/>
    <sheet name="2020" sheetId="2" r:id="rId2"/>
    <sheet name="2021" sheetId="3" r:id="rId3"/>
    <sheet name="2022" sheetId="4" r:id="rId4"/>
    <sheet name="2023" sheetId="5" r:id="rId5"/>
    <sheet name="2024" sheetId="6" r:id="rId6"/>
    <sheet name="2025" sheetId="7" r:id="rId7"/>
    <sheet name="2026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8" l="1"/>
  <c r="D13" i="8"/>
  <c r="C13" i="7"/>
  <c r="D12" i="7"/>
  <c r="D11" i="7"/>
  <c r="D10" i="7"/>
  <c r="D9" i="7"/>
  <c r="D8" i="7"/>
  <c r="D7" i="7"/>
  <c r="D6" i="7"/>
  <c r="D5" i="7"/>
  <c r="D4" i="7"/>
  <c r="C13" i="6"/>
  <c r="D5" i="6"/>
  <c r="D6" i="6"/>
  <c r="D7" i="6"/>
  <c r="D8" i="6"/>
  <c r="D9" i="6"/>
  <c r="D10" i="6"/>
  <c r="D11" i="6"/>
  <c r="D12" i="6"/>
  <c r="D4" i="6"/>
  <c r="C9" i="5"/>
  <c r="D8" i="5"/>
  <c r="D7" i="5"/>
  <c r="D6" i="5"/>
  <c r="D5" i="5"/>
  <c r="D4" i="5"/>
  <c r="D14" i="4"/>
  <c r="C16" i="4"/>
  <c r="D15" i="4"/>
  <c r="D13" i="4"/>
  <c r="D12" i="4"/>
  <c r="D11" i="4"/>
  <c r="D10" i="4"/>
  <c r="D9" i="4"/>
  <c r="D8" i="4"/>
  <c r="D7" i="4"/>
  <c r="D6" i="4"/>
  <c r="D5" i="4"/>
  <c r="C15" i="3"/>
  <c r="D14" i="3"/>
  <c r="D13" i="3"/>
  <c r="D12" i="3"/>
  <c r="D11" i="3"/>
  <c r="D10" i="3"/>
  <c r="D9" i="3"/>
  <c r="D8" i="3"/>
  <c r="D7" i="3"/>
  <c r="D6" i="3"/>
  <c r="D5" i="3"/>
  <c r="D15" i="3" s="1"/>
  <c r="D4" i="2"/>
  <c r="D5" i="2"/>
  <c r="D6" i="2"/>
  <c r="D7" i="2"/>
  <c r="D8" i="2"/>
  <c r="D9" i="2"/>
  <c r="D3" i="2"/>
  <c r="D10" i="2" s="1"/>
  <c r="C10" i="2"/>
  <c r="C10" i="1"/>
  <c r="D10" i="1"/>
  <c r="D13" i="7" l="1"/>
  <c r="D13" i="6"/>
  <c r="D9" i="5"/>
  <c r="D16" i="4"/>
</calcChain>
</file>

<file path=xl/sharedStrings.xml><?xml version="1.0" encoding="utf-8"?>
<sst xmlns="http://schemas.openxmlformats.org/spreadsheetml/2006/main" count="370" uniqueCount="18">
  <si>
    <t>data produkcji</t>
  </si>
  <si>
    <t>produkt gotowy</t>
  </si>
  <si>
    <t>data pozyskania miodu</t>
  </si>
  <si>
    <t>miejsce pozyskania</t>
  </si>
  <si>
    <t>ilość odpadów stałych kat.3</t>
  </si>
  <si>
    <t>uwagi</t>
  </si>
  <si>
    <t>podpis</t>
  </si>
  <si>
    <t>ilość rozlanego miodu (kg)</t>
  </si>
  <si>
    <t>suma</t>
  </si>
  <si>
    <t>-</t>
  </si>
  <si>
    <t>Dubne</t>
  </si>
  <si>
    <t>14.082019</t>
  </si>
  <si>
    <t>produkt gotowy (szt/700gr)</t>
  </si>
  <si>
    <t>24 - 26.06.2020</t>
  </si>
  <si>
    <t>22 - 23.07.2020</t>
  </si>
  <si>
    <t>15 - 17.08.2020</t>
  </si>
  <si>
    <t>02 - 4.09.2020</t>
  </si>
  <si>
    <t>02.09 - 04.09.2021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</si>
</sst>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0"/>
  <sheetViews>
    <sheetView workbookViewId="0">
      <selection activeCell="C21" sqref="C21"/>
    </sheetView>
  </sheetViews>
  <sheetFormatPr defaultRowHeight="14.4" x14ac:dyDescent="0.3"/>
  <cols>
    <col min="2" max="2" width="13.33203125" bestFit="1" customWidth="1"/>
    <col min="3" max="3" width="14.6640625" bestFit="1" customWidth="1"/>
    <col min="4" max="4" width="23.33203125" bestFit="1" customWidth="1"/>
    <col min="5" max="5" width="20.6640625" bestFit="1" customWidth="1"/>
    <col min="6" max="6" width="17.33203125" bestFit="1" customWidth="1"/>
    <col min="7" max="7" width="24.5546875" bestFit="1" customWidth="1"/>
    <col min="8" max="8" width="6" bestFit="1" customWidth="1"/>
    <col min="9" max="9" width="6.6640625" bestFit="1" customWidth="1"/>
  </cols>
  <sheetData>
    <row r="2" spans="2:9" x14ac:dyDescent="0.3">
      <c r="B2" s="3" t="s">
        <v>0</v>
      </c>
      <c r="C2" s="3" t="s">
        <v>1</v>
      </c>
      <c r="D2" s="3" t="s">
        <v>7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</row>
    <row r="3" spans="2:9" x14ac:dyDescent="0.3">
      <c r="B3" s="4">
        <v>43680</v>
      </c>
      <c r="C3" s="2">
        <v>94</v>
      </c>
      <c r="D3" s="2">
        <v>66</v>
      </c>
      <c r="E3" s="4">
        <v>43674</v>
      </c>
      <c r="F3" s="2" t="s">
        <v>10</v>
      </c>
      <c r="G3" s="2" t="s">
        <v>9</v>
      </c>
      <c r="H3" s="2" t="s">
        <v>9</v>
      </c>
      <c r="I3" s="2" t="s">
        <v>9</v>
      </c>
    </row>
    <row r="4" spans="2:9" x14ac:dyDescent="0.3">
      <c r="B4" s="4">
        <v>43686</v>
      </c>
      <c r="C4" s="2">
        <v>78</v>
      </c>
      <c r="D4" s="2">
        <v>55</v>
      </c>
      <c r="E4" s="4">
        <v>43684</v>
      </c>
      <c r="F4" s="2" t="s">
        <v>10</v>
      </c>
      <c r="G4" s="2" t="s">
        <v>9</v>
      </c>
      <c r="H4" s="2" t="s">
        <v>9</v>
      </c>
      <c r="I4" s="2" t="s">
        <v>9</v>
      </c>
    </row>
    <row r="5" spans="2:9" x14ac:dyDescent="0.3">
      <c r="B5" s="4">
        <v>43710</v>
      </c>
      <c r="C5" s="2">
        <v>80</v>
      </c>
      <c r="D5" s="2">
        <v>56</v>
      </c>
      <c r="E5" s="2" t="s">
        <v>11</v>
      </c>
      <c r="F5" s="2" t="s">
        <v>10</v>
      </c>
      <c r="G5" s="2" t="s">
        <v>9</v>
      </c>
      <c r="H5" s="2" t="s">
        <v>9</v>
      </c>
      <c r="I5" s="2" t="s">
        <v>9</v>
      </c>
    </row>
    <row r="6" spans="2:9" x14ac:dyDescent="0.3">
      <c r="B6" s="4">
        <v>43711</v>
      </c>
      <c r="C6" s="2">
        <v>112</v>
      </c>
      <c r="D6" s="2">
        <v>78</v>
      </c>
      <c r="E6" s="4">
        <v>43693</v>
      </c>
      <c r="F6" s="2" t="s">
        <v>10</v>
      </c>
      <c r="G6" s="2" t="s">
        <v>9</v>
      </c>
      <c r="H6" s="2" t="s">
        <v>9</v>
      </c>
      <c r="I6" s="2" t="s">
        <v>9</v>
      </c>
    </row>
    <row r="7" spans="2:9" x14ac:dyDescent="0.3">
      <c r="B7" s="4">
        <v>43724</v>
      </c>
      <c r="C7" s="2">
        <v>102</v>
      </c>
      <c r="D7" s="2">
        <v>72</v>
      </c>
      <c r="E7" s="4">
        <v>43699</v>
      </c>
      <c r="F7" s="2" t="s">
        <v>10</v>
      </c>
      <c r="G7" s="2" t="s">
        <v>9</v>
      </c>
      <c r="H7" s="2" t="s">
        <v>9</v>
      </c>
      <c r="I7" s="2" t="s">
        <v>9</v>
      </c>
    </row>
    <row r="8" spans="2:9" x14ac:dyDescent="0.3">
      <c r="B8" s="4">
        <v>43727</v>
      </c>
      <c r="C8" s="2">
        <v>84</v>
      </c>
      <c r="D8" s="2">
        <v>59</v>
      </c>
      <c r="E8" s="4">
        <v>43707</v>
      </c>
      <c r="F8" s="2" t="s">
        <v>10</v>
      </c>
      <c r="G8" s="2" t="s">
        <v>9</v>
      </c>
      <c r="H8" s="2" t="s">
        <v>9</v>
      </c>
      <c r="I8" s="2" t="s">
        <v>9</v>
      </c>
    </row>
    <row r="9" spans="2:9" x14ac:dyDescent="0.3">
      <c r="B9" s="4">
        <v>43729</v>
      </c>
      <c r="C9" s="2">
        <v>210</v>
      </c>
      <c r="D9" s="2">
        <v>147</v>
      </c>
      <c r="E9" s="4">
        <v>43711</v>
      </c>
      <c r="F9" s="2" t="s">
        <v>10</v>
      </c>
      <c r="G9" s="2" t="s">
        <v>9</v>
      </c>
      <c r="H9" s="2" t="s">
        <v>9</v>
      </c>
      <c r="I9" s="2" t="s">
        <v>9</v>
      </c>
    </row>
    <row r="10" spans="2:9" x14ac:dyDescent="0.3">
      <c r="B10" s="1" t="s">
        <v>8</v>
      </c>
      <c r="C10" s="1">
        <f>SUM(C3:C9)</f>
        <v>760</v>
      </c>
      <c r="D10" s="1">
        <f>SUM(D3:D9)</f>
        <v>533</v>
      </c>
      <c r="E10" s="1"/>
      <c r="F10" s="1"/>
      <c r="G10" s="2" t="s">
        <v>9</v>
      </c>
      <c r="H10" s="2" t="s">
        <v>9</v>
      </c>
      <c r="I10" s="2" t="s">
        <v>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3C343-8C63-4229-8E69-A17FB90F9287}">
  <dimension ref="B2:I10"/>
  <sheetViews>
    <sheetView workbookViewId="0">
      <selection activeCell="C10" sqref="C10"/>
    </sheetView>
  </sheetViews>
  <sheetFormatPr defaultRowHeight="14.4" x14ac:dyDescent="0.3"/>
  <cols>
    <col min="2" max="2" width="13.33203125" bestFit="1" customWidth="1"/>
    <col min="3" max="3" width="24.44140625" bestFit="1" customWidth="1"/>
    <col min="4" max="4" width="23.33203125" bestFit="1" customWidth="1"/>
    <col min="5" max="5" width="20.6640625" bestFit="1" customWidth="1"/>
    <col min="6" max="6" width="17.33203125" bestFit="1" customWidth="1"/>
    <col min="7" max="7" width="24.5546875" bestFit="1" customWidth="1"/>
  </cols>
  <sheetData>
    <row r="2" spans="2:9" x14ac:dyDescent="0.3">
      <c r="B2" s="3" t="s">
        <v>0</v>
      </c>
      <c r="C2" s="3" t="s">
        <v>12</v>
      </c>
      <c r="D2" s="3" t="s">
        <v>7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</row>
    <row r="3" spans="2:9" x14ac:dyDescent="0.3">
      <c r="B3" s="4">
        <v>44036</v>
      </c>
      <c r="C3" s="2">
        <v>320</v>
      </c>
      <c r="D3" s="2">
        <f>C3*0.7</f>
        <v>224</v>
      </c>
      <c r="E3" s="4">
        <v>44004</v>
      </c>
      <c r="F3" s="2" t="s">
        <v>10</v>
      </c>
      <c r="G3" s="2" t="s">
        <v>9</v>
      </c>
      <c r="H3" s="2" t="s">
        <v>9</v>
      </c>
      <c r="I3" s="2" t="s">
        <v>9</v>
      </c>
    </row>
    <row r="4" spans="2:9" x14ac:dyDescent="0.3">
      <c r="B4" s="4">
        <v>44043</v>
      </c>
      <c r="C4" s="2">
        <v>267</v>
      </c>
      <c r="D4" s="2">
        <f t="shared" ref="D4:D9" si="0">C4*0.7</f>
        <v>186.89999999999998</v>
      </c>
      <c r="E4" s="4" t="s">
        <v>13</v>
      </c>
      <c r="F4" s="2" t="s">
        <v>10</v>
      </c>
      <c r="G4" s="2" t="s">
        <v>9</v>
      </c>
      <c r="H4" s="2" t="s">
        <v>9</v>
      </c>
      <c r="I4" s="2" t="s">
        <v>9</v>
      </c>
    </row>
    <row r="5" spans="2:9" x14ac:dyDescent="0.3">
      <c r="B5" s="4">
        <v>44056</v>
      </c>
      <c r="C5" s="2">
        <v>90</v>
      </c>
      <c r="D5" s="2">
        <f t="shared" si="0"/>
        <v>62.999999999999993</v>
      </c>
      <c r="E5" s="4">
        <v>44029</v>
      </c>
      <c r="F5" s="2" t="s">
        <v>10</v>
      </c>
      <c r="G5" s="2" t="s">
        <v>9</v>
      </c>
      <c r="H5" s="2" t="s">
        <v>9</v>
      </c>
      <c r="I5" s="2" t="s">
        <v>9</v>
      </c>
    </row>
    <row r="6" spans="2:9" x14ac:dyDescent="0.3">
      <c r="B6" s="4">
        <v>44060</v>
      </c>
      <c r="C6" s="2">
        <v>200</v>
      </c>
      <c r="D6" s="2">
        <f t="shared" si="0"/>
        <v>140</v>
      </c>
      <c r="E6" s="4" t="s">
        <v>14</v>
      </c>
      <c r="F6" s="2" t="s">
        <v>10</v>
      </c>
      <c r="G6" s="2" t="s">
        <v>9</v>
      </c>
      <c r="H6" s="2" t="s">
        <v>9</v>
      </c>
      <c r="I6" s="2" t="s">
        <v>9</v>
      </c>
    </row>
    <row r="7" spans="2:9" x14ac:dyDescent="0.3">
      <c r="B7" s="4">
        <v>44064</v>
      </c>
      <c r="C7" s="2">
        <v>121</v>
      </c>
      <c r="D7" s="2">
        <f t="shared" si="0"/>
        <v>84.699999999999989</v>
      </c>
      <c r="E7" s="4">
        <v>44043</v>
      </c>
      <c r="F7" s="2" t="s">
        <v>10</v>
      </c>
      <c r="G7" s="2" t="s">
        <v>9</v>
      </c>
      <c r="H7" s="2" t="s">
        <v>9</v>
      </c>
      <c r="I7" s="2" t="s">
        <v>9</v>
      </c>
    </row>
    <row r="8" spans="2:9" x14ac:dyDescent="0.3">
      <c r="B8" s="4">
        <v>44071</v>
      </c>
      <c r="C8" s="2">
        <v>77</v>
      </c>
      <c r="D8" s="2">
        <f t="shared" si="0"/>
        <v>53.9</v>
      </c>
      <c r="E8" s="4" t="s">
        <v>15</v>
      </c>
      <c r="F8" s="2" t="s">
        <v>10</v>
      </c>
      <c r="G8" s="2" t="s">
        <v>9</v>
      </c>
      <c r="H8" s="2" t="s">
        <v>9</v>
      </c>
      <c r="I8" s="2" t="s">
        <v>9</v>
      </c>
    </row>
    <row r="9" spans="2:9" x14ac:dyDescent="0.3">
      <c r="B9" s="4">
        <v>44086</v>
      </c>
      <c r="C9" s="2">
        <v>470</v>
      </c>
      <c r="D9" s="2">
        <f t="shared" si="0"/>
        <v>329</v>
      </c>
      <c r="E9" s="4" t="s">
        <v>16</v>
      </c>
      <c r="F9" s="2" t="s">
        <v>10</v>
      </c>
      <c r="G9" s="2" t="s">
        <v>9</v>
      </c>
      <c r="H9" s="2" t="s">
        <v>9</v>
      </c>
      <c r="I9" s="2" t="s">
        <v>9</v>
      </c>
    </row>
    <row r="10" spans="2:9" x14ac:dyDescent="0.3">
      <c r="B10" s="1" t="s">
        <v>8</v>
      </c>
      <c r="C10" s="1">
        <f>SUM(C3:C9)</f>
        <v>1545</v>
      </c>
      <c r="D10" s="1">
        <f>SUM(D3:D9)</f>
        <v>1081.5</v>
      </c>
      <c r="E10" s="1"/>
      <c r="F10" s="1"/>
      <c r="G10" s="2" t="s">
        <v>9</v>
      </c>
      <c r="H10" s="2" t="s">
        <v>9</v>
      </c>
      <c r="I10" s="2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F49FF-4479-4D39-8EB0-3F3588BE0EC5}">
  <dimension ref="B4:I15"/>
  <sheetViews>
    <sheetView workbookViewId="0">
      <selection activeCell="B4" sqref="B4:I15"/>
    </sheetView>
  </sheetViews>
  <sheetFormatPr defaultRowHeight="14.4" x14ac:dyDescent="0.3"/>
  <cols>
    <col min="2" max="2" width="13.33203125" bestFit="1" customWidth="1"/>
    <col min="3" max="3" width="24.44140625" bestFit="1" customWidth="1"/>
    <col min="4" max="4" width="23.33203125" bestFit="1" customWidth="1"/>
    <col min="5" max="5" width="20.6640625" bestFit="1" customWidth="1"/>
    <col min="6" max="6" width="17.33203125" bestFit="1" customWidth="1"/>
    <col min="7" max="7" width="24.5546875" bestFit="1" customWidth="1"/>
  </cols>
  <sheetData>
    <row r="4" spans="2:9" x14ac:dyDescent="0.3">
      <c r="B4" s="3" t="s">
        <v>0</v>
      </c>
      <c r="C4" s="3" t="s">
        <v>12</v>
      </c>
      <c r="D4" s="3" t="s">
        <v>7</v>
      </c>
      <c r="E4" s="3" t="s">
        <v>2</v>
      </c>
      <c r="F4" s="3" t="s">
        <v>3</v>
      </c>
      <c r="G4" s="3" t="s">
        <v>4</v>
      </c>
      <c r="H4" s="3" t="s">
        <v>5</v>
      </c>
      <c r="I4" s="3" t="s">
        <v>6</v>
      </c>
    </row>
    <row r="5" spans="2:9" x14ac:dyDescent="0.3">
      <c r="B5" s="4">
        <v>44375</v>
      </c>
      <c r="C5" s="2">
        <v>101</v>
      </c>
      <c r="D5" s="2">
        <f>C5*0.7</f>
        <v>70.699999999999989</v>
      </c>
      <c r="E5" s="4">
        <v>44366</v>
      </c>
      <c r="F5" s="2" t="s">
        <v>10</v>
      </c>
      <c r="G5" s="2" t="s">
        <v>9</v>
      </c>
      <c r="H5" s="2" t="s">
        <v>9</v>
      </c>
      <c r="I5" s="2" t="s">
        <v>9</v>
      </c>
    </row>
    <row r="6" spans="2:9" x14ac:dyDescent="0.3">
      <c r="B6" s="4">
        <v>44379</v>
      </c>
      <c r="C6" s="2">
        <v>135</v>
      </c>
      <c r="D6" s="2">
        <f t="shared" ref="D6:D14" si="0">C6*0.7</f>
        <v>94.5</v>
      </c>
      <c r="E6" s="4">
        <v>44373</v>
      </c>
      <c r="F6" s="2" t="s">
        <v>10</v>
      </c>
      <c r="G6" s="2" t="s">
        <v>9</v>
      </c>
      <c r="H6" s="2" t="s">
        <v>9</v>
      </c>
      <c r="I6" s="2" t="s">
        <v>9</v>
      </c>
    </row>
    <row r="7" spans="2:9" x14ac:dyDescent="0.3">
      <c r="B7" s="4">
        <v>44394</v>
      </c>
      <c r="C7" s="2">
        <v>231</v>
      </c>
      <c r="D7" s="2">
        <f t="shared" si="0"/>
        <v>161.69999999999999</v>
      </c>
      <c r="E7" s="4">
        <v>44391</v>
      </c>
      <c r="F7" s="2" t="s">
        <v>10</v>
      </c>
      <c r="G7" s="2" t="s">
        <v>9</v>
      </c>
      <c r="H7" s="2" t="s">
        <v>9</v>
      </c>
      <c r="I7" s="2" t="s">
        <v>9</v>
      </c>
    </row>
    <row r="8" spans="2:9" x14ac:dyDescent="0.3">
      <c r="B8" s="4">
        <v>44401</v>
      </c>
      <c r="C8" s="2">
        <v>172</v>
      </c>
      <c r="D8" s="2">
        <f t="shared" si="0"/>
        <v>120.39999999999999</v>
      </c>
      <c r="E8" s="4">
        <v>44398</v>
      </c>
      <c r="F8" s="2" t="s">
        <v>10</v>
      </c>
      <c r="G8" s="2" t="s">
        <v>9</v>
      </c>
      <c r="H8" s="2" t="s">
        <v>9</v>
      </c>
      <c r="I8" s="2" t="s">
        <v>9</v>
      </c>
    </row>
    <row r="9" spans="2:9" x14ac:dyDescent="0.3">
      <c r="B9" s="4">
        <v>44408</v>
      </c>
      <c r="C9" s="2">
        <v>90</v>
      </c>
      <c r="D9" s="2">
        <f t="shared" si="0"/>
        <v>62.999999999999993</v>
      </c>
      <c r="E9" s="4">
        <v>44407</v>
      </c>
      <c r="F9" s="2" t="s">
        <v>10</v>
      </c>
      <c r="G9" s="2" t="s">
        <v>9</v>
      </c>
      <c r="H9" s="2" t="s">
        <v>9</v>
      </c>
      <c r="I9" s="2" t="s">
        <v>9</v>
      </c>
    </row>
    <row r="10" spans="2:9" x14ac:dyDescent="0.3">
      <c r="B10" s="4">
        <v>44426</v>
      </c>
      <c r="C10" s="2">
        <v>86</v>
      </c>
      <c r="D10" s="2">
        <f t="shared" si="0"/>
        <v>60.199999999999996</v>
      </c>
      <c r="E10" s="4">
        <v>44424</v>
      </c>
      <c r="F10" s="2" t="s">
        <v>10</v>
      </c>
      <c r="G10" s="2" t="s">
        <v>9</v>
      </c>
      <c r="H10" s="2" t="s">
        <v>9</v>
      </c>
      <c r="I10" s="2" t="s">
        <v>9</v>
      </c>
    </row>
    <row r="11" spans="2:9" x14ac:dyDescent="0.3">
      <c r="B11" s="4">
        <v>44428</v>
      </c>
      <c r="C11" s="2">
        <v>224</v>
      </c>
      <c r="D11" s="2">
        <f t="shared" si="0"/>
        <v>156.79999999999998</v>
      </c>
      <c r="E11" s="4">
        <v>44425</v>
      </c>
      <c r="F11" s="2" t="s">
        <v>10</v>
      </c>
      <c r="G11" s="2" t="s">
        <v>9</v>
      </c>
      <c r="H11" s="2" t="s">
        <v>9</v>
      </c>
      <c r="I11" s="2" t="s">
        <v>9</v>
      </c>
    </row>
    <row r="12" spans="2:9" x14ac:dyDescent="0.3">
      <c r="B12" s="4">
        <v>44432</v>
      </c>
      <c r="C12" s="2">
        <v>65</v>
      </c>
      <c r="D12" s="2">
        <f t="shared" si="0"/>
        <v>45.5</v>
      </c>
      <c r="E12" s="4">
        <v>44425</v>
      </c>
      <c r="F12" s="2" t="s">
        <v>10</v>
      </c>
      <c r="G12" s="2" t="s">
        <v>9</v>
      </c>
      <c r="H12" s="2" t="s">
        <v>9</v>
      </c>
      <c r="I12" s="2" t="s">
        <v>9</v>
      </c>
    </row>
    <row r="13" spans="2:9" x14ac:dyDescent="0.3">
      <c r="B13" s="4">
        <v>44443</v>
      </c>
      <c r="C13" s="2">
        <v>180</v>
      </c>
      <c r="D13" s="2">
        <f t="shared" si="0"/>
        <v>125.99999999999999</v>
      </c>
      <c r="E13" s="4">
        <v>44436</v>
      </c>
      <c r="F13" s="2" t="s">
        <v>10</v>
      </c>
      <c r="G13" s="2" t="s">
        <v>9</v>
      </c>
      <c r="H13" s="2" t="s">
        <v>9</v>
      </c>
      <c r="I13" s="2" t="s">
        <v>9</v>
      </c>
    </row>
    <row r="14" spans="2:9" x14ac:dyDescent="0.3">
      <c r="B14" s="4">
        <v>44455</v>
      </c>
      <c r="C14" s="2">
        <v>430</v>
      </c>
      <c r="D14" s="2">
        <f t="shared" si="0"/>
        <v>301</v>
      </c>
      <c r="E14" s="4" t="s">
        <v>17</v>
      </c>
      <c r="F14" s="2" t="s">
        <v>10</v>
      </c>
      <c r="G14" s="2" t="s">
        <v>9</v>
      </c>
      <c r="H14" s="2" t="s">
        <v>9</v>
      </c>
      <c r="I14" s="2" t="s">
        <v>9</v>
      </c>
    </row>
    <row r="15" spans="2:9" x14ac:dyDescent="0.3">
      <c r="B15" s="1" t="s">
        <v>8</v>
      </c>
      <c r="C15" s="1">
        <f>SUM(C5:C14)</f>
        <v>1714</v>
      </c>
      <c r="D15" s="1">
        <f>SUM(D5:D14)</f>
        <v>1199.8</v>
      </c>
      <c r="E15" s="1"/>
      <c r="F15" s="1"/>
      <c r="G15" s="2" t="s">
        <v>9</v>
      </c>
      <c r="H15" s="2" t="s">
        <v>9</v>
      </c>
      <c r="I15" s="2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778C5-8194-4EE0-AFFF-9DB6AF816661}">
  <dimension ref="B4:I16"/>
  <sheetViews>
    <sheetView workbookViewId="0">
      <selection activeCell="B4" sqref="B4:I16"/>
    </sheetView>
  </sheetViews>
  <sheetFormatPr defaultRowHeight="14.4" x14ac:dyDescent="0.3"/>
  <cols>
    <col min="2" max="2" width="13.33203125" bestFit="1" customWidth="1"/>
    <col min="3" max="3" width="24.44140625" bestFit="1" customWidth="1"/>
    <col min="4" max="4" width="23.33203125" bestFit="1" customWidth="1"/>
    <col min="5" max="5" width="20.6640625" bestFit="1" customWidth="1"/>
    <col min="6" max="6" width="17.33203125" bestFit="1" customWidth="1"/>
    <col min="7" max="7" width="24.5546875" bestFit="1" customWidth="1"/>
    <col min="8" max="8" width="6" bestFit="1" customWidth="1"/>
    <col min="9" max="9" width="6.6640625" bestFit="1" customWidth="1"/>
  </cols>
  <sheetData>
    <row r="4" spans="2:9" x14ac:dyDescent="0.3">
      <c r="B4" s="3" t="s">
        <v>0</v>
      </c>
      <c r="C4" s="3" t="s">
        <v>12</v>
      </c>
      <c r="D4" s="3" t="s">
        <v>7</v>
      </c>
      <c r="E4" s="3" t="s">
        <v>2</v>
      </c>
      <c r="F4" s="3" t="s">
        <v>3</v>
      </c>
      <c r="G4" s="3" t="s">
        <v>4</v>
      </c>
      <c r="H4" s="3" t="s">
        <v>5</v>
      </c>
      <c r="I4" s="3" t="s">
        <v>6</v>
      </c>
    </row>
    <row r="5" spans="2:9" x14ac:dyDescent="0.3">
      <c r="B5" s="4">
        <v>44742</v>
      </c>
      <c r="C5" s="2">
        <v>67</v>
      </c>
      <c r="D5" s="2">
        <f>C5*0.7</f>
        <v>46.9</v>
      </c>
      <c r="E5" s="4">
        <v>44735</v>
      </c>
      <c r="F5" s="2" t="s">
        <v>10</v>
      </c>
      <c r="G5" s="2" t="s">
        <v>9</v>
      </c>
      <c r="H5" s="2" t="s">
        <v>9</v>
      </c>
      <c r="I5" s="2" t="s">
        <v>9</v>
      </c>
    </row>
    <row r="6" spans="2:9" x14ac:dyDescent="0.3">
      <c r="B6" s="4">
        <v>44743</v>
      </c>
      <c r="C6" s="2">
        <v>77</v>
      </c>
      <c r="D6" s="2">
        <f t="shared" ref="D6:D15" si="0">C6*0.7</f>
        <v>53.9</v>
      </c>
      <c r="E6" s="4">
        <v>44740</v>
      </c>
      <c r="F6" s="2" t="s">
        <v>10</v>
      </c>
      <c r="G6" s="2" t="s">
        <v>9</v>
      </c>
      <c r="H6" s="2" t="s">
        <v>9</v>
      </c>
      <c r="I6" s="2" t="s">
        <v>9</v>
      </c>
    </row>
    <row r="7" spans="2:9" x14ac:dyDescent="0.3">
      <c r="B7" s="4">
        <v>44749</v>
      </c>
      <c r="C7" s="2">
        <v>153</v>
      </c>
      <c r="D7" s="2">
        <f t="shared" si="0"/>
        <v>107.1</v>
      </c>
      <c r="E7" s="4">
        <v>44741</v>
      </c>
      <c r="F7" s="2" t="s">
        <v>10</v>
      </c>
      <c r="G7" s="2" t="s">
        <v>9</v>
      </c>
      <c r="H7" s="2" t="s">
        <v>9</v>
      </c>
      <c r="I7" s="2" t="s">
        <v>9</v>
      </c>
    </row>
    <row r="8" spans="2:9" x14ac:dyDescent="0.3">
      <c r="B8" s="4">
        <v>44751</v>
      </c>
      <c r="C8" s="2">
        <v>183</v>
      </c>
      <c r="D8" s="2">
        <f t="shared" si="0"/>
        <v>128.1</v>
      </c>
      <c r="E8" s="4">
        <v>44743</v>
      </c>
      <c r="F8" s="2" t="s">
        <v>10</v>
      </c>
      <c r="G8" s="2" t="s">
        <v>9</v>
      </c>
      <c r="H8" s="2" t="s">
        <v>9</v>
      </c>
      <c r="I8" s="2" t="s">
        <v>9</v>
      </c>
    </row>
    <row r="9" spans="2:9" x14ac:dyDescent="0.3">
      <c r="B9" s="4">
        <v>44764</v>
      </c>
      <c r="C9" s="2">
        <v>205</v>
      </c>
      <c r="D9" s="2">
        <f t="shared" si="0"/>
        <v>143.5</v>
      </c>
      <c r="E9" s="4">
        <v>44759</v>
      </c>
      <c r="F9" s="2" t="s">
        <v>10</v>
      </c>
      <c r="G9" s="2" t="s">
        <v>9</v>
      </c>
      <c r="H9" s="2" t="s">
        <v>9</v>
      </c>
      <c r="I9" s="2" t="s">
        <v>9</v>
      </c>
    </row>
    <row r="10" spans="2:9" x14ac:dyDescent="0.3">
      <c r="B10" s="4">
        <v>44768</v>
      </c>
      <c r="C10" s="2">
        <v>78</v>
      </c>
      <c r="D10" s="2">
        <f t="shared" si="0"/>
        <v>54.599999999999994</v>
      </c>
      <c r="E10" s="4">
        <v>44763</v>
      </c>
      <c r="F10" s="2" t="s">
        <v>10</v>
      </c>
      <c r="G10" s="2" t="s">
        <v>9</v>
      </c>
      <c r="H10" s="2" t="s">
        <v>9</v>
      </c>
      <c r="I10" s="2" t="s">
        <v>9</v>
      </c>
    </row>
    <row r="11" spans="2:9" x14ac:dyDescent="0.3">
      <c r="B11" s="4">
        <v>44787</v>
      </c>
      <c r="C11" s="2">
        <v>171</v>
      </c>
      <c r="D11" s="2">
        <f t="shared" si="0"/>
        <v>119.69999999999999</v>
      </c>
      <c r="E11" s="4">
        <v>44768</v>
      </c>
      <c r="F11" s="2" t="s">
        <v>10</v>
      </c>
      <c r="G11" s="2" t="s">
        <v>9</v>
      </c>
      <c r="H11" s="2" t="s">
        <v>9</v>
      </c>
      <c r="I11" s="2" t="s">
        <v>9</v>
      </c>
    </row>
    <row r="12" spans="2:9" x14ac:dyDescent="0.3">
      <c r="B12" s="4">
        <v>44796</v>
      </c>
      <c r="C12" s="2">
        <v>111</v>
      </c>
      <c r="D12" s="2">
        <f t="shared" si="0"/>
        <v>77.699999999999989</v>
      </c>
      <c r="E12" s="4">
        <v>44790</v>
      </c>
      <c r="F12" s="2" t="s">
        <v>10</v>
      </c>
      <c r="G12" s="2" t="s">
        <v>9</v>
      </c>
      <c r="H12" s="2" t="s">
        <v>9</v>
      </c>
      <c r="I12" s="2" t="s">
        <v>9</v>
      </c>
    </row>
    <row r="13" spans="2:9" x14ac:dyDescent="0.3">
      <c r="B13" s="4">
        <v>44802</v>
      </c>
      <c r="C13" s="2">
        <v>163</v>
      </c>
      <c r="D13" s="2">
        <f t="shared" si="0"/>
        <v>114.1</v>
      </c>
      <c r="E13" s="4">
        <v>44797</v>
      </c>
      <c r="F13" s="2" t="s">
        <v>10</v>
      </c>
      <c r="G13" s="2" t="s">
        <v>9</v>
      </c>
      <c r="H13" s="2" t="s">
        <v>9</v>
      </c>
      <c r="I13" s="2" t="s">
        <v>9</v>
      </c>
    </row>
    <row r="14" spans="2:9" x14ac:dyDescent="0.3">
      <c r="B14" s="4">
        <v>44808</v>
      </c>
      <c r="C14" s="2">
        <v>92</v>
      </c>
      <c r="D14" s="2">
        <f t="shared" si="0"/>
        <v>64.399999999999991</v>
      </c>
      <c r="E14" s="4">
        <v>44806</v>
      </c>
      <c r="F14" s="2" t="s">
        <v>10</v>
      </c>
      <c r="G14" s="2" t="s">
        <v>9</v>
      </c>
      <c r="H14" s="2" t="s">
        <v>9</v>
      </c>
      <c r="I14" s="2" t="s">
        <v>9</v>
      </c>
    </row>
    <row r="15" spans="2:9" x14ac:dyDescent="0.3">
      <c r="B15" s="4">
        <v>44816</v>
      </c>
      <c r="C15" s="2">
        <v>323</v>
      </c>
      <c r="D15" s="2">
        <f t="shared" si="0"/>
        <v>226.1</v>
      </c>
      <c r="E15" s="4">
        <v>44809</v>
      </c>
      <c r="F15" s="2" t="s">
        <v>10</v>
      </c>
      <c r="G15" s="2" t="s">
        <v>9</v>
      </c>
      <c r="H15" s="2" t="s">
        <v>9</v>
      </c>
      <c r="I15" s="2" t="s">
        <v>9</v>
      </c>
    </row>
    <row r="16" spans="2:9" x14ac:dyDescent="0.3">
      <c r="B16" s="1" t="s">
        <v>8</v>
      </c>
      <c r="C16" s="1">
        <f>SUM(C5:C15)</f>
        <v>1623</v>
      </c>
      <c r="D16" s="1">
        <f>SUM(D5:D15)</f>
        <v>1136.0999999999999</v>
      </c>
      <c r="E16" s="1"/>
      <c r="F16" s="1"/>
      <c r="G16" s="2" t="s">
        <v>9</v>
      </c>
      <c r="H16" s="2" t="s">
        <v>9</v>
      </c>
      <c r="I16" s="2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7C67A-9280-4155-A19D-A65244D1D355}">
  <dimension ref="B3:I9"/>
  <sheetViews>
    <sheetView workbookViewId="0">
      <selection activeCell="B3" sqref="B3:I9"/>
    </sheetView>
  </sheetViews>
  <sheetFormatPr defaultRowHeight="14.4" x14ac:dyDescent="0.3"/>
  <cols>
    <col min="2" max="2" width="13.33203125" bestFit="1" customWidth="1"/>
    <col min="3" max="3" width="24.44140625" bestFit="1" customWidth="1"/>
    <col min="4" max="4" width="23.33203125" bestFit="1" customWidth="1"/>
    <col min="5" max="5" width="20.6640625" bestFit="1" customWidth="1"/>
    <col min="6" max="6" width="17.33203125" bestFit="1" customWidth="1"/>
    <col min="7" max="7" width="24.5546875" bestFit="1" customWidth="1"/>
  </cols>
  <sheetData>
    <row r="3" spans="2:9" x14ac:dyDescent="0.3">
      <c r="B3" s="3" t="s">
        <v>0</v>
      </c>
      <c r="C3" s="3" t="s">
        <v>12</v>
      </c>
      <c r="D3" s="3" t="s">
        <v>7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</row>
    <row r="4" spans="2:9" x14ac:dyDescent="0.3">
      <c r="B4" s="4">
        <v>45105</v>
      </c>
      <c r="C4" s="2">
        <v>112</v>
      </c>
      <c r="D4" s="2">
        <f>C4*0.7</f>
        <v>78.399999999999991</v>
      </c>
      <c r="E4" s="4">
        <v>45104</v>
      </c>
      <c r="F4" s="2" t="s">
        <v>10</v>
      </c>
      <c r="G4" s="2" t="s">
        <v>9</v>
      </c>
      <c r="H4" s="2" t="s">
        <v>9</v>
      </c>
      <c r="I4" s="2" t="s">
        <v>9</v>
      </c>
    </row>
    <row r="5" spans="2:9" x14ac:dyDescent="0.3">
      <c r="B5" s="4">
        <v>45108</v>
      </c>
      <c r="C5" s="2">
        <v>76</v>
      </c>
      <c r="D5" s="2">
        <f t="shared" ref="D5:D8" si="0">C5*0.7</f>
        <v>53.199999999999996</v>
      </c>
      <c r="E5" s="4">
        <v>45105</v>
      </c>
      <c r="F5" s="2" t="s">
        <v>10</v>
      </c>
      <c r="G5" s="2" t="s">
        <v>9</v>
      </c>
      <c r="H5" s="2" t="s">
        <v>9</v>
      </c>
      <c r="I5" s="2" t="s">
        <v>9</v>
      </c>
    </row>
    <row r="6" spans="2:9" x14ac:dyDescent="0.3">
      <c r="B6" s="4">
        <v>45152</v>
      </c>
      <c r="C6" s="2">
        <v>228</v>
      </c>
      <c r="D6" s="2">
        <f t="shared" si="0"/>
        <v>159.6</v>
      </c>
      <c r="E6" s="4">
        <v>45114</v>
      </c>
      <c r="F6" s="2" t="s">
        <v>10</v>
      </c>
      <c r="G6" s="2" t="s">
        <v>9</v>
      </c>
      <c r="H6" s="2" t="s">
        <v>9</v>
      </c>
      <c r="I6" s="2" t="s">
        <v>9</v>
      </c>
    </row>
    <row r="7" spans="2:9" ht="21" customHeight="1" x14ac:dyDescent="0.3">
      <c r="B7" s="4">
        <v>45164</v>
      </c>
      <c r="C7" s="2">
        <v>117</v>
      </c>
      <c r="D7" s="2">
        <f t="shared" si="0"/>
        <v>81.899999999999991</v>
      </c>
      <c r="E7" s="4">
        <v>45155</v>
      </c>
      <c r="F7" s="2" t="s">
        <v>10</v>
      </c>
      <c r="G7" s="2" t="s">
        <v>9</v>
      </c>
      <c r="H7" s="2" t="s">
        <v>9</v>
      </c>
      <c r="I7" s="2" t="s">
        <v>9</v>
      </c>
    </row>
    <row r="8" spans="2:9" x14ac:dyDescent="0.3">
      <c r="B8" s="4">
        <v>45181</v>
      </c>
      <c r="C8" s="2">
        <v>245</v>
      </c>
      <c r="D8" s="2">
        <f t="shared" si="0"/>
        <v>171.5</v>
      </c>
      <c r="E8" s="4">
        <v>45171</v>
      </c>
      <c r="F8" s="2" t="s">
        <v>10</v>
      </c>
      <c r="G8" s="2" t="s">
        <v>9</v>
      </c>
      <c r="H8" s="2" t="s">
        <v>9</v>
      </c>
      <c r="I8" s="2" t="s">
        <v>9</v>
      </c>
    </row>
    <row r="9" spans="2:9" x14ac:dyDescent="0.3">
      <c r="B9" s="1" t="s">
        <v>8</v>
      </c>
      <c r="C9" s="1">
        <f>SUM(C4:C8)</f>
        <v>778</v>
      </c>
      <c r="D9" s="1">
        <f>SUM(D4:D8)</f>
        <v>544.59999999999991</v>
      </c>
      <c r="E9" s="1"/>
      <c r="F9" s="1"/>
      <c r="G9" s="2" t="s">
        <v>9</v>
      </c>
      <c r="H9" s="2" t="s">
        <v>9</v>
      </c>
      <c r="I9" s="2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F22D5-EB6A-4EEA-AB1B-175C838DF9AB}">
  <dimension ref="B3:I13"/>
  <sheetViews>
    <sheetView workbookViewId="0">
      <selection activeCell="B3" sqref="B3:I13"/>
    </sheetView>
  </sheetViews>
  <sheetFormatPr defaultRowHeight="14.4" x14ac:dyDescent="0.3"/>
  <cols>
    <col min="2" max="2" width="13.33203125" bestFit="1" customWidth="1"/>
    <col min="3" max="3" width="24.44140625" bestFit="1" customWidth="1"/>
    <col min="4" max="4" width="23.33203125" bestFit="1" customWidth="1"/>
    <col min="5" max="5" width="20.6640625" bestFit="1" customWidth="1"/>
    <col min="6" max="6" width="17.33203125" bestFit="1" customWidth="1"/>
    <col min="7" max="7" width="24.5546875" bestFit="1" customWidth="1"/>
    <col min="8" max="8" width="6" bestFit="1" customWidth="1"/>
    <col min="9" max="9" width="6.6640625" bestFit="1" customWidth="1"/>
  </cols>
  <sheetData>
    <row r="3" spans="2:9" x14ac:dyDescent="0.3">
      <c r="B3" s="3" t="s">
        <v>0</v>
      </c>
      <c r="C3" s="3" t="s">
        <v>12</v>
      </c>
      <c r="D3" s="3" t="s">
        <v>7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</row>
    <row r="4" spans="2:9" x14ac:dyDescent="0.3">
      <c r="B4" s="4">
        <v>45482</v>
      </c>
      <c r="C4" s="2">
        <v>181</v>
      </c>
      <c r="D4" s="2">
        <f>C4*0.7</f>
        <v>126.69999999999999</v>
      </c>
      <c r="E4" s="4">
        <v>45479</v>
      </c>
      <c r="F4" s="2" t="s">
        <v>10</v>
      </c>
      <c r="G4" s="2" t="s">
        <v>9</v>
      </c>
      <c r="H4" s="2" t="s">
        <v>9</v>
      </c>
      <c r="I4" s="2" t="s">
        <v>9</v>
      </c>
    </row>
    <row r="5" spans="2:9" x14ac:dyDescent="0.3">
      <c r="B5" s="4">
        <v>45488</v>
      </c>
      <c r="C5" s="2">
        <v>65</v>
      </c>
      <c r="D5" s="2">
        <f t="shared" ref="D5:D12" si="0">C5*0.7</f>
        <v>45.5</v>
      </c>
      <c r="E5" s="4">
        <v>45486</v>
      </c>
      <c r="F5" s="2" t="s">
        <v>10</v>
      </c>
      <c r="G5" s="2" t="s">
        <v>9</v>
      </c>
      <c r="H5" s="2" t="s">
        <v>9</v>
      </c>
      <c r="I5" s="2" t="s">
        <v>9</v>
      </c>
    </row>
    <row r="6" spans="2:9" x14ac:dyDescent="0.3">
      <c r="B6" s="4">
        <v>45503</v>
      </c>
      <c r="C6" s="2">
        <v>192</v>
      </c>
      <c r="D6" s="2">
        <f t="shared" si="0"/>
        <v>134.39999999999998</v>
      </c>
      <c r="E6" s="4">
        <v>45500</v>
      </c>
      <c r="F6" s="2" t="s">
        <v>10</v>
      </c>
      <c r="G6" s="2" t="s">
        <v>9</v>
      </c>
      <c r="H6" s="2" t="s">
        <v>9</v>
      </c>
      <c r="I6" s="2" t="s">
        <v>9</v>
      </c>
    </row>
    <row r="7" spans="2:9" x14ac:dyDescent="0.3">
      <c r="B7" s="4">
        <v>45509</v>
      </c>
      <c r="C7" s="2">
        <v>104</v>
      </c>
      <c r="D7" s="2">
        <f t="shared" si="0"/>
        <v>72.8</v>
      </c>
      <c r="E7" s="4">
        <v>45507</v>
      </c>
      <c r="F7" s="2" t="s">
        <v>10</v>
      </c>
      <c r="G7" s="2" t="s">
        <v>9</v>
      </c>
      <c r="H7" s="2" t="s">
        <v>9</v>
      </c>
      <c r="I7" s="2" t="s">
        <v>9</v>
      </c>
    </row>
    <row r="8" spans="2:9" x14ac:dyDescent="0.3">
      <c r="B8" s="4">
        <v>45512</v>
      </c>
      <c r="C8" s="2">
        <v>150</v>
      </c>
      <c r="D8" s="2">
        <f t="shared" si="0"/>
        <v>105</v>
      </c>
      <c r="E8" s="4">
        <v>45509</v>
      </c>
      <c r="F8" s="2" t="s">
        <v>10</v>
      </c>
      <c r="G8" s="2" t="s">
        <v>9</v>
      </c>
      <c r="H8" s="2" t="s">
        <v>9</v>
      </c>
      <c r="I8" s="2" t="s">
        <v>9</v>
      </c>
    </row>
    <row r="9" spans="2:9" x14ac:dyDescent="0.3">
      <c r="B9" s="4">
        <v>45517</v>
      </c>
      <c r="C9" s="2">
        <v>94</v>
      </c>
      <c r="D9" s="2">
        <f t="shared" si="0"/>
        <v>65.8</v>
      </c>
      <c r="E9" s="4">
        <v>45515</v>
      </c>
      <c r="F9" s="2" t="s">
        <v>10</v>
      </c>
      <c r="G9" s="2" t="s">
        <v>9</v>
      </c>
      <c r="H9" s="2" t="s">
        <v>9</v>
      </c>
      <c r="I9" s="2" t="s">
        <v>9</v>
      </c>
    </row>
    <row r="10" spans="2:9" x14ac:dyDescent="0.3">
      <c r="B10" s="4">
        <v>45521</v>
      </c>
      <c r="C10" s="2">
        <v>143</v>
      </c>
      <c r="D10" s="2">
        <f t="shared" si="0"/>
        <v>100.1</v>
      </c>
      <c r="E10" s="4">
        <v>45520</v>
      </c>
      <c r="F10" s="2" t="s">
        <v>10</v>
      </c>
      <c r="G10" s="2" t="s">
        <v>9</v>
      </c>
      <c r="H10" s="2" t="s">
        <v>9</v>
      </c>
      <c r="I10" s="2" t="s">
        <v>9</v>
      </c>
    </row>
    <row r="11" spans="2:9" x14ac:dyDescent="0.3">
      <c r="B11" s="4">
        <v>45526</v>
      </c>
      <c r="C11" s="2">
        <v>77</v>
      </c>
      <c r="D11" s="2">
        <f t="shared" si="0"/>
        <v>53.9</v>
      </c>
      <c r="E11" s="4">
        <v>45526</v>
      </c>
      <c r="F11" s="2" t="s">
        <v>10</v>
      </c>
      <c r="G11" s="2" t="s">
        <v>9</v>
      </c>
      <c r="H11" s="2" t="s">
        <v>9</v>
      </c>
      <c r="I11" s="2" t="s">
        <v>9</v>
      </c>
    </row>
    <row r="12" spans="2:9" x14ac:dyDescent="0.3">
      <c r="B12" s="4">
        <v>45549</v>
      </c>
      <c r="C12" s="2">
        <v>212</v>
      </c>
      <c r="D12" s="2">
        <f t="shared" si="0"/>
        <v>148.39999999999998</v>
      </c>
      <c r="E12" s="4">
        <v>45539</v>
      </c>
      <c r="F12" s="2" t="s">
        <v>10</v>
      </c>
      <c r="G12" s="2" t="s">
        <v>9</v>
      </c>
      <c r="H12" s="2" t="s">
        <v>9</v>
      </c>
      <c r="I12" s="2" t="s">
        <v>9</v>
      </c>
    </row>
    <row r="13" spans="2:9" x14ac:dyDescent="0.3">
      <c r="B13" s="1" t="s">
        <v>8</v>
      </c>
      <c r="C13" s="1">
        <f>SUM(C4:C12)</f>
        <v>1218</v>
      </c>
      <c r="D13" s="1">
        <f>SUM(D4:D10)</f>
        <v>650.29999999999995</v>
      </c>
      <c r="E13" s="1"/>
      <c r="F13" s="1"/>
      <c r="G13" s="2" t="s">
        <v>9</v>
      </c>
      <c r="H13" s="2" t="s">
        <v>9</v>
      </c>
      <c r="I13" s="2" t="s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05C91-54AC-451D-A28B-CA597C12708E}">
  <dimension ref="B3:I13"/>
  <sheetViews>
    <sheetView workbookViewId="0">
      <selection activeCell="B3" sqref="B3:I13"/>
    </sheetView>
  </sheetViews>
  <sheetFormatPr defaultRowHeight="14.4" x14ac:dyDescent="0.3"/>
  <cols>
    <col min="2" max="2" width="13.33203125" bestFit="1" customWidth="1"/>
    <col min="3" max="3" width="24.44140625" bestFit="1" customWidth="1"/>
    <col min="4" max="4" width="23.33203125" bestFit="1" customWidth="1"/>
    <col min="5" max="5" width="20.6640625" bestFit="1" customWidth="1"/>
    <col min="6" max="6" width="17.33203125" bestFit="1" customWidth="1"/>
    <col min="7" max="7" width="24.5546875" bestFit="1" customWidth="1"/>
    <col min="8" max="8" width="6" bestFit="1" customWidth="1"/>
    <col min="9" max="9" width="6.6640625" bestFit="1" customWidth="1"/>
  </cols>
  <sheetData>
    <row r="3" spans="2:9" x14ac:dyDescent="0.3">
      <c r="B3" s="3" t="s">
        <v>0</v>
      </c>
      <c r="C3" s="3" t="s">
        <v>12</v>
      </c>
      <c r="D3" s="3" t="s">
        <v>7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</row>
    <row r="4" spans="2:9" x14ac:dyDescent="0.3">
      <c r="B4" s="4">
        <v>45849</v>
      </c>
      <c r="C4" s="2">
        <v>181</v>
      </c>
      <c r="D4" s="2">
        <f>C4*0.7</f>
        <v>126.69999999999999</v>
      </c>
      <c r="E4" s="4">
        <v>45846</v>
      </c>
      <c r="F4" s="2" t="s">
        <v>10</v>
      </c>
      <c r="G4" s="2" t="s">
        <v>9</v>
      </c>
      <c r="H4" s="2" t="s">
        <v>9</v>
      </c>
      <c r="I4" s="2" t="s">
        <v>9</v>
      </c>
    </row>
    <row r="5" spans="2:9" x14ac:dyDescent="0.3">
      <c r="B5" s="4">
        <v>45868</v>
      </c>
      <c r="C5" s="2">
        <v>43</v>
      </c>
      <c r="D5" s="2">
        <f t="shared" ref="D5:D12" si="0">C5*0.7</f>
        <v>30.099999999999998</v>
      </c>
      <c r="E5" s="4">
        <v>45866</v>
      </c>
      <c r="F5" s="2" t="s">
        <v>10</v>
      </c>
      <c r="G5" s="2" t="s">
        <v>9</v>
      </c>
      <c r="H5" s="2" t="s">
        <v>9</v>
      </c>
      <c r="I5" s="2" t="s">
        <v>9</v>
      </c>
    </row>
    <row r="6" spans="2:9" x14ac:dyDescent="0.3">
      <c r="B6" s="4">
        <v>45873</v>
      </c>
      <c r="C6" s="2">
        <v>57</v>
      </c>
      <c r="D6" s="2">
        <f t="shared" si="0"/>
        <v>39.9</v>
      </c>
      <c r="E6" s="4">
        <v>45869</v>
      </c>
      <c r="F6" s="2" t="s">
        <v>10</v>
      </c>
      <c r="G6" s="2" t="s">
        <v>9</v>
      </c>
      <c r="H6" s="2" t="s">
        <v>9</v>
      </c>
      <c r="I6" s="2" t="s">
        <v>9</v>
      </c>
    </row>
    <row r="7" spans="2:9" x14ac:dyDescent="0.3">
      <c r="B7" s="4">
        <v>45874</v>
      </c>
      <c r="C7" s="2">
        <v>173</v>
      </c>
      <c r="D7" s="2">
        <f t="shared" si="0"/>
        <v>121.1</v>
      </c>
      <c r="E7" s="4">
        <v>45872</v>
      </c>
      <c r="F7" s="2" t="s">
        <v>10</v>
      </c>
      <c r="G7" s="2" t="s">
        <v>9</v>
      </c>
      <c r="H7" s="2" t="s">
        <v>9</v>
      </c>
      <c r="I7" s="2" t="s">
        <v>9</v>
      </c>
    </row>
    <row r="8" spans="2:9" x14ac:dyDescent="0.3">
      <c r="B8" s="4">
        <v>45888</v>
      </c>
      <c r="C8" s="2">
        <v>60</v>
      </c>
      <c r="D8" s="2">
        <f t="shared" si="0"/>
        <v>42</v>
      </c>
      <c r="E8" s="4">
        <v>45885</v>
      </c>
      <c r="F8" s="2" t="s">
        <v>10</v>
      </c>
      <c r="G8" s="2" t="s">
        <v>9</v>
      </c>
      <c r="H8" s="2" t="s">
        <v>9</v>
      </c>
      <c r="I8" s="2" t="s">
        <v>9</v>
      </c>
    </row>
    <row r="9" spans="2:9" x14ac:dyDescent="0.3">
      <c r="B9" s="4">
        <v>45897</v>
      </c>
      <c r="C9" s="2">
        <v>157</v>
      </c>
      <c r="D9" s="2">
        <f t="shared" si="0"/>
        <v>109.89999999999999</v>
      </c>
      <c r="E9" s="4">
        <v>45895</v>
      </c>
      <c r="F9" s="2" t="s">
        <v>10</v>
      </c>
      <c r="G9" s="2" t="s">
        <v>9</v>
      </c>
      <c r="H9" s="2" t="s">
        <v>9</v>
      </c>
      <c r="I9" s="2" t="s">
        <v>9</v>
      </c>
    </row>
    <row r="10" spans="2:9" x14ac:dyDescent="0.3">
      <c r="B10" s="4">
        <v>45904</v>
      </c>
      <c r="C10" s="2">
        <v>132</v>
      </c>
      <c r="D10" s="2">
        <f t="shared" si="0"/>
        <v>92.399999999999991</v>
      </c>
      <c r="E10" s="4">
        <v>45902</v>
      </c>
      <c r="F10" s="2" t="s">
        <v>10</v>
      </c>
      <c r="G10" s="2" t="s">
        <v>9</v>
      </c>
      <c r="H10" s="2" t="s">
        <v>9</v>
      </c>
      <c r="I10" s="2" t="s">
        <v>9</v>
      </c>
    </row>
    <row r="11" spans="2:9" x14ac:dyDescent="0.3">
      <c r="B11" s="4">
        <v>45906</v>
      </c>
      <c r="C11" s="2">
        <v>64</v>
      </c>
      <c r="D11" s="2">
        <f t="shared" si="0"/>
        <v>44.8</v>
      </c>
      <c r="E11" s="4">
        <v>45905</v>
      </c>
      <c r="F11" s="2" t="s">
        <v>10</v>
      </c>
      <c r="G11" s="2" t="s">
        <v>9</v>
      </c>
      <c r="H11" s="2" t="s">
        <v>9</v>
      </c>
      <c r="I11" s="2" t="s">
        <v>9</v>
      </c>
    </row>
    <row r="12" spans="2:9" x14ac:dyDescent="0.3">
      <c r="B12" s="4">
        <v>45919</v>
      </c>
      <c r="C12" s="2">
        <v>114</v>
      </c>
      <c r="D12" s="2">
        <f t="shared" si="0"/>
        <v>79.8</v>
      </c>
      <c r="E12" s="4">
        <v>45907</v>
      </c>
      <c r="F12" s="2" t="s">
        <v>10</v>
      </c>
      <c r="G12" s="2" t="s">
        <v>9</v>
      </c>
      <c r="H12" s="2" t="s">
        <v>9</v>
      </c>
      <c r="I12" s="2" t="s">
        <v>9</v>
      </c>
    </row>
    <row r="13" spans="2:9" x14ac:dyDescent="0.3">
      <c r="B13" s="1" t="s">
        <v>8</v>
      </c>
      <c r="C13" s="1">
        <f>SUM(C4:C12)</f>
        <v>981</v>
      </c>
      <c r="D13" s="1">
        <f>SUM(D4:D10)</f>
        <v>562.09999999999991</v>
      </c>
      <c r="E13" s="1"/>
      <c r="F13" s="1"/>
      <c r="G13" s="2" t="s">
        <v>9</v>
      </c>
      <c r="H13" s="2" t="s">
        <v>9</v>
      </c>
      <c r="I13" s="2" t="s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23BE8-6ECD-4E99-A54C-21ECE239F11E}">
  <dimension ref="B3:I13"/>
  <sheetViews>
    <sheetView tabSelected="1" workbookViewId="0">
      <selection activeCell="J13" sqref="J13"/>
    </sheetView>
  </sheetViews>
  <sheetFormatPr defaultRowHeight="14.4" x14ac:dyDescent="0.3"/>
  <cols>
    <col min="2" max="2" width="13.33203125" bestFit="1" customWidth="1"/>
    <col min="3" max="3" width="24.44140625" bestFit="1" customWidth="1"/>
    <col min="4" max="4" width="23.33203125" bestFit="1" customWidth="1"/>
    <col min="5" max="5" width="20.6640625" bestFit="1" customWidth="1"/>
    <col min="6" max="6" width="17.33203125" bestFit="1" customWidth="1"/>
    <col min="7" max="7" width="24.5546875" bestFit="1" customWidth="1"/>
  </cols>
  <sheetData>
    <row r="3" spans="2:9" x14ac:dyDescent="0.3">
      <c r="B3" s="3" t="s">
        <v>0</v>
      </c>
      <c r="C3" s="3" t="s">
        <v>12</v>
      </c>
      <c r="D3" s="3" t="s">
        <v>7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</row>
    <row r="4" spans="2:9" x14ac:dyDescent="0.3">
      <c r="B4" s="4"/>
      <c r="C4" s="2"/>
      <c r="D4" s="2"/>
      <c r="E4" s="4"/>
      <c r="F4" s="2" t="s">
        <v>10</v>
      </c>
      <c r="G4" s="2" t="s">
        <v>9</v>
      </c>
      <c r="H4" s="2" t="s">
        <v>9</v>
      </c>
      <c r="I4" s="2" t="s">
        <v>9</v>
      </c>
    </row>
    <row r="5" spans="2:9" x14ac:dyDescent="0.3">
      <c r="B5" s="4"/>
      <c r="C5" s="2"/>
      <c r="D5" s="2"/>
      <c r="E5" s="4"/>
      <c r="F5" s="2" t="s">
        <v>10</v>
      </c>
      <c r="G5" s="2" t="s">
        <v>9</v>
      </c>
      <c r="H5" s="2" t="s">
        <v>9</v>
      </c>
      <c r="I5" s="2" t="s">
        <v>9</v>
      </c>
    </row>
    <row r="6" spans="2:9" x14ac:dyDescent="0.3">
      <c r="B6" s="4"/>
      <c r="C6" s="2"/>
      <c r="D6" s="2"/>
      <c r="E6" s="4"/>
      <c r="F6" s="2" t="s">
        <v>10</v>
      </c>
      <c r="G6" s="2" t="s">
        <v>9</v>
      </c>
      <c r="H6" s="2" t="s">
        <v>9</v>
      </c>
      <c r="I6" s="2" t="s">
        <v>9</v>
      </c>
    </row>
    <row r="7" spans="2:9" x14ac:dyDescent="0.3">
      <c r="B7" s="4"/>
      <c r="C7" s="2"/>
      <c r="D7" s="2"/>
      <c r="E7" s="4"/>
      <c r="F7" s="2" t="s">
        <v>10</v>
      </c>
      <c r="G7" s="2" t="s">
        <v>9</v>
      </c>
      <c r="H7" s="2" t="s">
        <v>9</v>
      </c>
      <c r="I7" s="2" t="s">
        <v>9</v>
      </c>
    </row>
    <row r="8" spans="2:9" x14ac:dyDescent="0.3">
      <c r="B8" s="4"/>
      <c r="C8" s="2"/>
      <c r="D8" s="2"/>
      <c r="E8" s="4"/>
      <c r="F8" s="2" t="s">
        <v>10</v>
      </c>
      <c r="G8" s="2" t="s">
        <v>9</v>
      </c>
      <c r="H8" s="2" t="s">
        <v>9</v>
      </c>
      <c r="I8" s="2" t="s">
        <v>9</v>
      </c>
    </row>
    <row r="9" spans="2:9" x14ac:dyDescent="0.3">
      <c r="B9" s="4"/>
      <c r="C9" s="2"/>
      <c r="D9" s="2"/>
      <c r="E9" s="4"/>
      <c r="F9" s="2" t="s">
        <v>10</v>
      </c>
      <c r="G9" s="2" t="s">
        <v>9</v>
      </c>
      <c r="H9" s="2" t="s">
        <v>9</v>
      </c>
      <c r="I9" s="2" t="s">
        <v>9</v>
      </c>
    </row>
    <row r="10" spans="2:9" x14ac:dyDescent="0.3">
      <c r="B10" s="4"/>
      <c r="C10" s="2"/>
      <c r="D10" s="2"/>
      <c r="E10" s="4"/>
      <c r="F10" s="2" t="s">
        <v>10</v>
      </c>
      <c r="G10" s="2" t="s">
        <v>9</v>
      </c>
      <c r="H10" s="2" t="s">
        <v>9</v>
      </c>
      <c r="I10" s="2" t="s">
        <v>9</v>
      </c>
    </row>
    <row r="11" spans="2:9" x14ac:dyDescent="0.3">
      <c r="B11" s="4"/>
      <c r="C11" s="2"/>
      <c r="D11" s="2"/>
      <c r="E11" s="4"/>
      <c r="F11" s="2" t="s">
        <v>10</v>
      </c>
      <c r="G11" s="2" t="s">
        <v>9</v>
      </c>
      <c r="H11" s="2" t="s">
        <v>9</v>
      </c>
      <c r="I11" s="2" t="s">
        <v>9</v>
      </c>
    </row>
    <row r="12" spans="2:9" x14ac:dyDescent="0.3">
      <c r="B12" s="4"/>
      <c r="C12" s="2"/>
      <c r="D12" s="2"/>
      <c r="E12" s="4"/>
      <c r="F12" s="2" t="s">
        <v>10</v>
      </c>
      <c r="G12" s="2" t="s">
        <v>9</v>
      </c>
      <c r="H12" s="2" t="s">
        <v>9</v>
      </c>
      <c r="I12" s="2" t="s">
        <v>9</v>
      </c>
    </row>
    <row r="13" spans="2:9" x14ac:dyDescent="0.3">
      <c r="B13" s="1" t="s">
        <v>8</v>
      </c>
      <c r="C13" s="1">
        <f>SUM(C4:C12)</f>
        <v>0</v>
      </c>
      <c r="D13" s="1">
        <f>SUM(D4:D10)</f>
        <v>0</v>
      </c>
      <c r="E13" s="1"/>
      <c r="F13" s="1"/>
      <c r="G13" s="2" t="s">
        <v>9</v>
      </c>
      <c r="H13" s="2" t="s">
        <v>9</v>
      </c>
      <c r="I13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8</vt:i4>
      </vt:variant>
    </vt:vector>
  </HeadingPairs>
  <TitlesOfParts>
    <vt:vector size="8" baseType="lpstr">
      <vt:lpstr>2019</vt:lpstr>
      <vt:lpstr>2020</vt:lpstr>
      <vt:lpstr>2021</vt:lpstr>
      <vt:lpstr>2022</vt:lpstr>
      <vt:lpstr>2023</vt:lpstr>
      <vt:lpstr>2024</vt:lpstr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Tomasz Filip Walasek</dc:creator>
  <cp:lastModifiedBy>Tomasz Walasek</cp:lastModifiedBy>
  <dcterms:created xsi:type="dcterms:W3CDTF">2015-06-05T18:19:34Z</dcterms:created>
  <dcterms:modified xsi:type="dcterms:W3CDTF">2026-04-14T14:01:07Z</dcterms:modified>
</cp:coreProperties>
</file>